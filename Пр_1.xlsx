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Уник\Имитационное моделирование\"/>
    </mc:Choice>
  </mc:AlternateContent>
  <xr:revisionPtr revIDLastSave="0" documentId="8_{A24255D3-CEDB-452B-A149-2563821A71A6}" xr6:coauthVersionLast="47" xr6:coauthVersionMax="47" xr10:uidLastSave="{00000000-0000-0000-0000-000000000000}"/>
  <bookViews>
    <workbookView xWindow="-108" yWindow="-108" windowWidth="23256" windowHeight="13896" xr2:uid="{DF026EEF-3546-4978-ACF6-D84FDFAC432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G5" i="1"/>
  <c r="G6" i="1"/>
  <c r="G7" i="1"/>
  <c r="G8" i="1"/>
  <c r="G9" i="1"/>
  <c r="G10" i="1"/>
  <c r="G11" i="1"/>
  <c r="G12" i="1"/>
  <c r="G13" i="1"/>
  <c r="G14" i="1"/>
  <c r="G15" i="1"/>
  <c r="G4" i="1"/>
  <c r="C5" i="1"/>
  <c r="D5" i="1" s="1"/>
  <c r="H4" i="1" l="1"/>
  <c r="J4" i="1"/>
  <c r="B6" i="1"/>
  <c r="C6" i="1" s="1"/>
  <c r="G16" i="1"/>
  <c r="K4" i="1" s="1"/>
  <c r="B7" i="1" l="1"/>
  <c r="C7" i="1" s="1"/>
  <c r="D6" i="1"/>
  <c r="J5" i="1" l="1"/>
  <c r="H5" i="1"/>
  <c r="I5" i="1"/>
  <c r="B8" i="1"/>
  <c r="C8" i="1" s="1"/>
  <c r="D7" i="1"/>
  <c r="I6" i="1" s="1"/>
  <c r="H6" i="1" l="1"/>
  <c r="J6" i="1"/>
  <c r="B9" i="1"/>
  <c r="C9" i="1" s="1"/>
  <c r="D8" i="1"/>
  <c r="I7" i="1" l="1"/>
  <c r="J7" i="1"/>
  <c r="B10" i="1"/>
  <c r="C10" i="1" s="1"/>
  <c r="D9" i="1"/>
  <c r="H7" i="1"/>
  <c r="B11" i="1" l="1"/>
  <c r="C11" i="1" s="1"/>
  <c r="D10" i="1"/>
  <c r="B12" i="1" l="1"/>
  <c r="C12" i="1" s="1"/>
  <c r="D11" i="1"/>
  <c r="B13" i="1" l="1"/>
  <c r="C13" i="1" s="1"/>
  <c r="D12" i="1"/>
  <c r="B14" i="1" l="1"/>
  <c r="C14" i="1" s="1"/>
  <c r="D13" i="1"/>
  <c r="B15" i="1" l="1"/>
  <c r="C15" i="1" s="1"/>
  <c r="D14" i="1"/>
  <c r="B16" i="1" l="1"/>
  <c r="C16" i="1" s="1"/>
  <c r="D15" i="1"/>
  <c r="B17" i="1" l="1"/>
  <c r="C17" i="1" s="1"/>
  <c r="D16" i="1"/>
  <c r="B18" i="1" l="1"/>
  <c r="C18" i="1" s="1"/>
  <c r="D17" i="1"/>
  <c r="B19" i="1" l="1"/>
  <c r="C19" i="1" s="1"/>
  <c r="D18" i="1"/>
  <c r="B20" i="1" l="1"/>
  <c r="C20" i="1" s="1"/>
  <c r="D19" i="1"/>
  <c r="B21" i="1" l="1"/>
  <c r="C21" i="1" s="1"/>
  <c r="D20" i="1"/>
  <c r="B22" i="1" l="1"/>
  <c r="C22" i="1" s="1"/>
  <c r="D21" i="1"/>
  <c r="B23" i="1" l="1"/>
  <c r="C23" i="1" s="1"/>
  <c r="D22" i="1"/>
  <c r="B24" i="1" l="1"/>
  <c r="C24" i="1" s="1"/>
  <c r="D23" i="1"/>
  <c r="B25" i="1" l="1"/>
  <c r="C25" i="1" s="1"/>
  <c r="D24" i="1"/>
  <c r="B26" i="1" l="1"/>
  <c r="C26" i="1" s="1"/>
  <c r="D25" i="1"/>
  <c r="B27" i="1" l="1"/>
  <c r="C27" i="1" s="1"/>
  <c r="D26" i="1"/>
  <c r="B28" i="1" l="1"/>
  <c r="C28" i="1" s="1"/>
  <c r="D27" i="1"/>
  <c r="B29" i="1" l="1"/>
  <c r="C29" i="1" s="1"/>
  <c r="D28" i="1"/>
  <c r="B30" i="1" l="1"/>
  <c r="C30" i="1" s="1"/>
  <c r="D29" i="1"/>
  <c r="B31" i="1" l="1"/>
  <c r="C31" i="1" s="1"/>
  <c r="D30" i="1"/>
  <c r="B32" i="1" l="1"/>
  <c r="C32" i="1" s="1"/>
  <c r="D31" i="1"/>
  <c r="B33" i="1" l="1"/>
  <c r="C33" i="1" s="1"/>
  <c r="D32" i="1"/>
  <c r="B34" i="1" l="1"/>
  <c r="C34" i="1" s="1"/>
  <c r="D33" i="1"/>
  <c r="B35" i="1" l="1"/>
  <c r="C35" i="1" s="1"/>
  <c r="D34" i="1"/>
  <c r="B36" i="1" l="1"/>
  <c r="C36" i="1" s="1"/>
  <c r="D35" i="1"/>
  <c r="B37" i="1" l="1"/>
  <c r="C37" i="1" s="1"/>
  <c r="D36" i="1"/>
  <c r="B38" i="1" l="1"/>
  <c r="C38" i="1" s="1"/>
  <c r="D37" i="1"/>
  <c r="B39" i="1" l="1"/>
  <c r="C39" i="1" s="1"/>
  <c r="D38" i="1"/>
  <c r="B40" i="1" l="1"/>
  <c r="C40" i="1" s="1"/>
  <c r="D39" i="1"/>
  <c r="B41" i="1" l="1"/>
  <c r="C41" i="1" s="1"/>
  <c r="D40" i="1"/>
  <c r="B42" i="1" l="1"/>
  <c r="C42" i="1" s="1"/>
  <c r="D41" i="1"/>
  <c r="B43" i="1" l="1"/>
  <c r="C43" i="1" s="1"/>
  <c r="D42" i="1"/>
  <c r="B44" i="1" l="1"/>
  <c r="C44" i="1" s="1"/>
  <c r="D43" i="1"/>
  <c r="B45" i="1" l="1"/>
  <c r="C45" i="1" s="1"/>
  <c r="D44" i="1"/>
  <c r="B46" i="1" l="1"/>
  <c r="C46" i="1" s="1"/>
  <c r="D45" i="1"/>
  <c r="B47" i="1" l="1"/>
  <c r="C47" i="1" s="1"/>
  <c r="D46" i="1"/>
  <c r="B48" i="1" l="1"/>
  <c r="C48" i="1" s="1"/>
  <c r="D47" i="1"/>
  <c r="B49" i="1" l="1"/>
  <c r="C49" i="1" s="1"/>
  <c r="D48" i="1"/>
  <c r="B50" i="1" l="1"/>
  <c r="C50" i="1" s="1"/>
  <c r="D49" i="1"/>
  <c r="B51" i="1" l="1"/>
  <c r="C51" i="1" s="1"/>
  <c r="D50" i="1"/>
  <c r="B52" i="1" l="1"/>
  <c r="C52" i="1" s="1"/>
  <c r="D51" i="1"/>
  <c r="B53" i="1" l="1"/>
  <c r="C53" i="1" s="1"/>
  <c r="D52" i="1"/>
  <c r="B54" i="1" l="1"/>
  <c r="C54" i="1" s="1"/>
  <c r="D53" i="1"/>
  <c r="B55" i="1" l="1"/>
  <c r="C55" i="1" s="1"/>
  <c r="D54" i="1"/>
  <c r="B56" i="1" l="1"/>
  <c r="C56" i="1" s="1"/>
  <c r="D55" i="1"/>
  <c r="B57" i="1" l="1"/>
  <c r="C57" i="1" s="1"/>
  <c r="D56" i="1"/>
  <c r="B58" i="1" l="1"/>
  <c r="C58" i="1" s="1"/>
  <c r="D57" i="1"/>
  <c r="B59" i="1" l="1"/>
  <c r="C59" i="1" s="1"/>
  <c r="D58" i="1"/>
  <c r="B60" i="1" l="1"/>
  <c r="C60" i="1" s="1"/>
  <c r="D59" i="1"/>
  <c r="B61" i="1" l="1"/>
  <c r="C61" i="1" s="1"/>
  <c r="D60" i="1"/>
  <c r="B62" i="1" l="1"/>
  <c r="C62" i="1" s="1"/>
  <c r="D61" i="1"/>
  <c r="B63" i="1" l="1"/>
  <c r="C63" i="1" s="1"/>
  <c r="D62" i="1"/>
  <c r="B64" i="1" l="1"/>
  <c r="C64" i="1" s="1"/>
  <c r="D63" i="1"/>
  <c r="B65" i="1" l="1"/>
  <c r="C65" i="1" s="1"/>
  <c r="D64" i="1"/>
  <c r="B66" i="1" l="1"/>
  <c r="C66" i="1" s="1"/>
  <c r="D65" i="1"/>
  <c r="B67" i="1" l="1"/>
  <c r="C67" i="1" s="1"/>
  <c r="D66" i="1"/>
  <c r="B68" i="1" l="1"/>
  <c r="C68" i="1" s="1"/>
  <c r="D67" i="1"/>
  <c r="B69" i="1" l="1"/>
  <c r="C69" i="1" s="1"/>
  <c r="D68" i="1"/>
  <c r="B70" i="1" l="1"/>
  <c r="C70" i="1" s="1"/>
  <c r="D69" i="1"/>
  <c r="B71" i="1" l="1"/>
  <c r="C71" i="1" s="1"/>
  <c r="D70" i="1"/>
  <c r="B72" i="1" l="1"/>
  <c r="C72" i="1" s="1"/>
  <c r="D71" i="1"/>
  <c r="B73" i="1" l="1"/>
  <c r="C73" i="1" s="1"/>
  <c r="D72" i="1"/>
  <c r="B74" i="1" l="1"/>
  <c r="C74" i="1" s="1"/>
  <c r="D73" i="1"/>
  <c r="B75" i="1" l="1"/>
  <c r="C75" i="1" s="1"/>
  <c r="D74" i="1"/>
  <c r="B76" i="1" l="1"/>
  <c r="C76" i="1" s="1"/>
  <c r="D75" i="1"/>
  <c r="B77" i="1" l="1"/>
  <c r="C77" i="1" s="1"/>
  <c r="D76" i="1"/>
  <c r="B78" i="1" l="1"/>
  <c r="C78" i="1" s="1"/>
  <c r="D77" i="1"/>
  <c r="B79" i="1" l="1"/>
  <c r="C79" i="1" s="1"/>
  <c r="D78" i="1"/>
  <c r="B80" i="1" l="1"/>
  <c r="C80" i="1" s="1"/>
  <c r="D79" i="1"/>
  <c r="B81" i="1" l="1"/>
  <c r="C81" i="1" s="1"/>
  <c r="D80" i="1"/>
  <c r="B82" i="1" l="1"/>
  <c r="C82" i="1" s="1"/>
  <c r="D81" i="1"/>
  <c r="B83" i="1" l="1"/>
  <c r="C83" i="1" s="1"/>
  <c r="D82" i="1"/>
  <c r="B84" i="1" l="1"/>
  <c r="C84" i="1" s="1"/>
  <c r="D83" i="1"/>
  <c r="B85" i="1" l="1"/>
  <c r="C85" i="1" s="1"/>
  <c r="D84" i="1"/>
  <c r="B86" i="1" l="1"/>
  <c r="C86" i="1" s="1"/>
  <c r="D85" i="1"/>
  <c r="B87" i="1" l="1"/>
  <c r="C87" i="1" s="1"/>
  <c r="D86" i="1"/>
  <c r="B88" i="1" l="1"/>
  <c r="C88" i="1" s="1"/>
  <c r="D87" i="1"/>
  <c r="B89" i="1" l="1"/>
  <c r="C89" i="1" s="1"/>
  <c r="D88" i="1"/>
  <c r="B90" i="1" l="1"/>
  <c r="C90" i="1" s="1"/>
  <c r="D89" i="1"/>
  <c r="B91" i="1" l="1"/>
  <c r="C91" i="1" s="1"/>
  <c r="D90" i="1"/>
  <c r="B92" i="1" l="1"/>
  <c r="C92" i="1" s="1"/>
  <c r="D91" i="1"/>
  <c r="B93" i="1" l="1"/>
  <c r="C93" i="1" s="1"/>
  <c r="D92" i="1"/>
  <c r="B94" i="1" l="1"/>
  <c r="C94" i="1" s="1"/>
  <c r="D93" i="1"/>
  <c r="B95" i="1" l="1"/>
  <c r="C95" i="1" s="1"/>
  <c r="D94" i="1"/>
  <c r="B96" i="1" l="1"/>
  <c r="C96" i="1" s="1"/>
  <c r="D95" i="1"/>
  <c r="B97" i="1" l="1"/>
  <c r="C97" i="1" s="1"/>
  <c r="D96" i="1"/>
  <c r="B98" i="1" l="1"/>
  <c r="C98" i="1" s="1"/>
  <c r="D97" i="1"/>
  <c r="B99" i="1" l="1"/>
  <c r="C99" i="1" s="1"/>
  <c r="D98" i="1"/>
  <c r="B100" i="1" l="1"/>
  <c r="C100" i="1" s="1"/>
  <c r="D99" i="1"/>
  <c r="B101" i="1" l="1"/>
  <c r="C101" i="1" s="1"/>
  <c r="D100" i="1"/>
  <c r="B102" i="1" l="1"/>
  <c r="C102" i="1" s="1"/>
  <c r="D101" i="1"/>
  <c r="B103" i="1" l="1"/>
  <c r="C103" i="1" s="1"/>
  <c r="D102" i="1"/>
  <c r="B104" i="1" l="1"/>
  <c r="C104" i="1" s="1"/>
  <c r="D104" i="1" s="1"/>
  <c r="D103" i="1"/>
</calcChain>
</file>

<file path=xl/sharedStrings.xml><?xml version="1.0" encoding="utf-8"?>
<sst xmlns="http://schemas.openxmlformats.org/spreadsheetml/2006/main" count="13" uniqueCount="13">
  <si>
    <t>А=</t>
  </si>
  <si>
    <t>В=</t>
  </si>
  <si>
    <t>М=</t>
  </si>
  <si>
    <t>№</t>
  </si>
  <si>
    <t>yi-1</t>
  </si>
  <si>
    <t>y</t>
  </si>
  <si>
    <t>zi</t>
  </si>
  <si>
    <t>Расп.по равномер. закону на [3,7]</t>
  </si>
  <si>
    <t>Расп.по показ. закону</t>
  </si>
  <si>
    <t>Расп.по закону Релея</t>
  </si>
  <si>
    <t>Смоделированная случайная величина по нормальному закону:</t>
  </si>
  <si>
    <t>Дисперсия =</t>
  </si>
  <si>
    <t xml:space="preserve">Мат. Ожидание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</si>
</sst>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 vertical="top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5771-7A7F-440B-9B78-B46BC4E76A76}">
  <dimension ref="A2:K104"/>
  <sheetViews>
    <sheetView tabSelected="1" topLeftCell="D1" workbookViewId="0">
      <selection activeCell="I17" sqref="I17"/>
    </sheetView>
  </sheetViews>
  <sheetFormatPr defaultRowHeight="14.4" x14ac:dyDescent="0.3"/>
  <cols>
    <col min="6" max="6" width="16.5546875" bestFit="1" customWidth="1"/>
    <col min="7" max="7" width="8.33203125" customWidth="1"/>
    <col min="8" max="8" width="18" customWidth="1"/>
    <col min="9" max="9" width="16.109375" customWidth="1"/>
    <col min="10" max="10" width="15.21875" customWidth="1"/>
    <col min="11" max="11" width="23.33203125" customWidth="1"/>
  </cols>
  <sheetData>
    <row r="2" spans="1:11" x14ac:dyDescent="0.3">
      <c r="B2" s="1" t="s">
        <v>0</v>
      </c>
      <c r="C2">
        <v>4.5</v>
      </c>
      <c r="D2" s="7" t="s">
        <v>1</v>
      </c>
      <c r="E2" s="9">
        <v>23</v>
      </c>
    </row>
    <row r="3" spans="1:11" ht="53.25" customHeight="1" x14ac:dyDescent="0.3">
      <c r="D3" s="8" t="s">
        <v>2</v>
      </c>
      <c r="E3" s="10">
        <v>87</v>
      </c>
      <c r="H3" s="4" t="s">
        <v>7</v>
      </c>
      <c r="I3" s="4" t="s">
        <v>8</v>
      </c>
      <c r="J3" s="4" t="s">
        <v>9</v>
      </c>
      <c r="K3" s="4" t="s">
        <v>10</v>
      </c>
    </row>
    <row r="4" spans="1:11" x14ac:dyDescent="0.3">
      <c r="A4" s="2" t="s">
        <v>3</v>
      </c>
      <c r="B4" s="2" t="s">
        <v>4</v>
      </c>
      <c r="C4" s="2" t="s">
        <v>5</v>
      </c>
      <c r="D4" s="2" t="s">
        <v>6</v>
      </c>
      <c r="F4">
        <v>1</v>
      </c>
      <c r="G4">
        <f ca="1">RANDBETWEEN(0,10)</f>
        <v>1</v>
      </c>
      <c r="H4" s="3">
        <f>(7-3)*D5+3</f>
        <v>4.6976744186046506</v>
      </c>
      <c r="I4" s="3">
        <f>-(LN(D5)/8)</f>
        <v>0.10712937945813275</v>
      </c>
      <c r="J4" s="3">
        <f>-2*3*LN(D5)</f>
        <v>5.1422102139903725</v>
      </c>
      <c r="K4" s="5">
        <f ca="1">G18+SQRT(G19)*(G16-F15/2)</f>
        <v>112</v>
      </c>
    </row>
    <row r="5" spans="1:11" x14ac:dyDescent="0.3">
      <c r="A5">
        <v>1</v>
      </c>
      <c r="B5">
        <v>3</v>
      </c>
      <c r="C5">
        <f>MOD(($C$2*B5+$E$2),$E$3)</f>
        <v>36.5</v>
      </c>
      <c r="D5">
        <f>C5/($E$3-1)</f>
        <v>0.42441860465116277</v>
      </c>
      <c r="F5">
        <v>2</v>
      </c>
      <c r="G5">
        <f t="shared" ref="G5:G15" ca="1" si="0">RANDBETWEEN(0,10)</f>
        <v>1</v>
      </c>
      <c r="H5" s="3">
        <f>(7-3)*D6+3</f>
        <v>3.6162790697674421</v>
      </c>
      <c r="I5" s="3">
        <f>-(LN(D6)/8)</f>
        <v>0.23379371797765958</v>
      </c>
      <c r="J5" s="3">
        <f>-2*3*LN(D6)</f>
        <v>11.22209846292766</v>
      </c>
    </row>
    <row r="6" spans="1:11" x14ac:dyDescent="0.3">
      <c r="A6">
        <v>2</v>
      </c>
      <c r="B6">
        <f>C5</f>
        <v>36.5</v>
      </c>
      <c r="C6">
        <f>MOD(($C$2*B6+$E$2),$E$3)</f>
        <v>13.25</v>
      </c>
      <c r="D6">
        <f>C6/($E$3-1)</f>
        <v>0.15406976744186046</v>
      </c>
      <c r="F6">
        <v>3</v>
      </c>
      <c r="G6">
        <f t="shared" ca="1" si="0"/>
        <v>2</v>
      </c>
      <c r="H6" s="3">
        <f t="shared" ref="H5:H7" si="1">(7-3)*D7+3</f>
        <v>6.8430232558139537</v>
      </c>
      <c r="I6" s="3">
        <f>-(LN(D7)/8)</f>
        <v>5.0043747602071661E-3</v>
      </c>
      <c r="J6" s="3">
        <f t="shared" ref="J6" si="2">-2*3*LN(D7)</f>
        <v>0.24020998848994396</v>
      </c>
    </row>
    <row r="7" spans="1:11" x14ac:dyDescent="0.3">
      <c r="A7">
        <v>3</v>
      </c>
      <c r="B7">
        <f t="shared" ref="B7:B70" si="3">C6</f>
        <v>13.25</v>
      </c>
      <c r="C7">
        <f>MOD(($C$2*B7+$E$2),$E$3)</f>
        <v>82.625</v>
      </c>
      <c r="D7">
        <f>C7/($E$3-1)</f>
        <v>0.96075581395348841</v>
      </c>
      <c r="F7">
        <v>4</v>
      </c>
      <c r="G7">
        <f t="shared" ca="1" si="0"/>
        <v>7</v>
      </c>
      <c r="H7" s="3">
        <f t="shared" si="1"/>
        <v>5.1773255813953494</v>
      </c>
      <c r="I7" s="3">
        <f>-(LN(D8)/8)</f>
        <v>7.6024629372008684E-2</v>
      </c>
      <c r="J7" s="3">
        <f>-2*3*LN(D8)</f>
        <v>3.6491822098564168</v>
      </c>
    </row>
    <row r="8" spans="1:11" x14ac:dyDescent="0.3">
      <c r="A8">
        <v>4</v>
      </c>
      <c r="B8">
        <f t="shared" si="3"/>
        <v>82.625</v>
      </c>
      <c r="C8">
        <f>MOD(($C$2*B8+$E$2),$E$3)</f>
        <v>46.8125</v>
      </c>
      <c r="D8">
        <f>C8/($E$3-1)</f>
        <v>0.54433139534883723</v>
      </c>
      <c r="F8">
        <v>5</v>
      </c>
      <c r="G8">
        <f t="shared" ca="1" si="0"/>
        <v>4</v>
      </c>
    </row>
    <row r="9" spans="1:11" x14ac:dyDescent="0.3">
      <c r="A9">
        <v>5</v>
      </c>
      <c r="B9">
        <f t="shared" si="3"/>
        <v>46.8125</v>
      </c>
      <c r="C9">
        <f>MOD(($C$2*B9+$E$2),$E$3)</f>
        <v>59.65625</v>
      </c>
      <c r="D9">
        <f>C9/($E$3-1)</f>
        <v>0.69367732558139539</v>
      </c>
      <c r="F9">
        <v>6</v>
      </c>
      <c r="G9">
        <f t="shared" ca="1" si="0"/>
        <v>4</v>
      </c>
    </row>
    <row r="10" spans="1:11" x14ac:dyDescent="0.3">
      <c r="A10">
        <v>6</v>
      </c>
      <c r="B10">
        <f t="shared" si="3"/>
        <v>59.65625</v>
      </c>
      <c r="C10">
        <f>MOD(($C$2*B10+$E$2),$E$3)</f>
        <v>30.453125</v>
      </c>
      <c r="D10">
        <f>C10/($E$3-1)</f>
        <v>0.35410610465116277</v>
      </c>
      <c r="F10">
        <v>7</v>
      </c>
      <c r="G10">
        <f t="shared" ca="1" si="0"/>
        <v>10</v>
      </c>
    </row>
    <row r="11" spans="1:11" x14ac:dyDescent="0.3">
      <c r="A11">
        <v>7</v>
      </c>
      <c r="B11">
        <f t="shared" si="3"/>
        <v>30.453125</v>
      </c>
      <c r="C11">
        <f>MOD(($C$2*B11+$E$2),$E$3)</f>
        <v>73.0390625</v>
      </c>
      <c r="D11">
        <f>C11/($E$3-1)</f>
        <v>0.84929142441860461</v>
      </c>
      <c r="F11">
        <v>8</v>
      </c>
      <c r="G11">
        <f t="shared" ca="1" si="0"/>
        <v>1</v>
      </c>
    </row>
    <row r="12" spans="1:11" x14ac:dyDescent="0.3">
      <c r="A12">
        <v>8</v>
      </c>
      <c r="B12">
        <f t="shared" si="3"/>
        <v>73.0390625</v>
      </c>
      <c r="C12">
        <f>MOD(($C$2*B12+$E$2),$E$3)</f>
        <v>3.67578125</v>
      </c>
      <c r="D12">
        <f>C12/($E$3-1)</f>
        <v>4.2741642441860468E-2</v>
      </c>
      <c r="F12">
        <v>9</v>
      </c>
      <c r="G12">
        <f t="shared" ca="1" si="0"/>
        <v>2</v>
      </c>
    </row>
    <row r="13" spans="1:11" x14ac:dyDescent="0.3">
      <c r="A13">
        <v>9</v>
      </c>
      <c r="B13">
        <f t="shared" si="3"/>
        <v>3.67578125</v>
      </c>
      <c r="C13">
        <f>MOD(($C$2*B13+$E$2),$E$3)</f>
        <v>39.541015625</v>
      </c>
      <c r="D13">
        <f>C13/($E$3-1)</f>
        <v>0.45977925145348836</v>
      </c>
      <c r="F13">
        <v>10</v>
      </c>
      <c r="G13">
        <f t="shared" ca="1" si="0"/>
        <v>4</v>
      </c>
    </row>
    <row r="14" spans="1:11" x14ac:dyDescent="0.3">
      <c r="A14">
        <v>10</v>
      </c>
      <c r="B14">
        <f t="shared" si="3"/>
        <v>39.541015625</v>
      </c>
      <c r="C14">
        <f>MOD(($C$2*B14+$E$2),$E$3)</f>
        <v>26.9345703125</v>
      </c>
      <c r="D14">
        <f>C14/($E$3-1)</f>
        <v>0.31319267805232559</v>
      </c>
      <c r="F14">
        <v>11</v>
      </c>
      <c r="G14">
        <f t="shared" ca="1" si="0"/>
        <v>0</v>
      </c>
    </row>
    <row r="15" spans="1:11" x14ac:dyDescent="0.3">
      <c r="A15">
        <v>11</v>
      </c>
      <c r="B15">
        <f t="shared" si="3"/>
        <v>26.9345703125</v>
      </c>
      <c r="C15">
        <f>MOD(($C$2*B15+$E$2),$E$3)</f>
        <v>57.20556640625</v>
      </c>
      <c r="D15">
        <f>C15/($E$3-1)</f>
        <v>0.66518100472383723</v>
      </c>
      <c r="F15">
        <v>12</v>
      </c>
      <c r="G15">
        <f t="shared" ca="1" si="0"/>
        <v>7</v>
      </c>
    </row>
    <row r="16" spans="1:11" x14ac:dyDescent="0.3">
      <c r="A16">
        <v>12</v>
      </c>
      <c r="B16">
        <f t="shared" si="3"/>
        <v>57.20556640625</v>
      </c>
      <c r="C16">
        <f>MOD(($C$2*B16+$E$2),$E$3)</f>
        <v>19.425048828125</v>
      </c>
      <c r="D16">
        <f>C16/($E$3-1)</f>
        <v>0.22587266079215115</v>
      </c>
      <c r="G16">
        <f ca="1">SUM(G4:G15)</f>
        <v>43</v>
      </c>
    </row>
    <row r="17" spans="1:7" x14ac:dyDescent="0.3">
      <c r="A17">
        <v>13</v>
      </c>
      <c r="B17">
        <f t="shared" si="3"/>
        <v>19.425048828125</v>
      </c>
      <c r="C17">
        <f>MOD(($C$2*B17+$E$2),$E$3)</f>
        <v>23.4127197265625</v>
      </c>
      <c r="D17">
        <f>C17/($E$3-1)</f>
        <v>0.27224092705305231</v>
      </c>
    </row>
    <row r="18" spans="1:7" x14ac:dyDescent="0.3">
      <c r="A18">
        <v>14</v>
      </c>
      <c r="B18">
        <f t="shared" si="3"/>
        <v>23.4127197265625</v>
      </c>
      <c r="C18">
        <f>MOD(($C$2*B18+$E$2),$E$3)</f>
        <v>41.35723876953125</v>
      </c>
      <c r="D18">
        <f>C18/($E$3-1)</f>
        <v>0.48089812522710756</v>
      </c>
      <c r="F18" s="3" t="s">
        <v>12</v>
      </c>
      <c r="G18" s="6">
        <v>1</v>
      </c>
    </row>
    <row r="19" spans="1:7" x14ac:dyDescent="0.3">
      <c r="A19">
        <v>15</v>
      </c>
      <c r="B19">
        <f t="shared" si="3"/>
        <v>41.35723876953125</v>
      </c>
      <c r="C19">
        <f>MOD(($C$2*B19+$E$2),$E$3)</f>
        <v>35.107574462890625</v>
      </c>
      <c r="D19">
        <f>C19/($E$3-1)</f>
        <v>0.40822761003361191</v>
      </c>
      <c r="F19" s="3" t="s">
        <v>11</v>
      </c>
      <c r="G19" s="6">
        <v>9</v>
      </c>
    </row>
    <row r="20" spans="1:7" x14ac:dyDescent="0.3">
      <c r="A20">
        <v>16</v>
      </c>
      <c r="B20">
        <f t="shared" si="3"/>
        <v>35.107574462890625</v>
      </c>
      <c r="C20">
        <f>MOD(($C$2*B20+$E$2),$E$3)</f>
        <v>6.9840850830078125</v>
      </c>
      <c r="D20">
        <f>C20/($E$3-1)</f>
        <v>8.1210291662881545E-2</v>
      </c>
    </row>
    <row r="21" spans="1:7" x14ac:dyDescent="0.3">
      <c r="A21">
        <v>17</v>
      </c>
      <c r="B21">
        <f t="shared" si="3"/>
        <v>6.9840850830078125</v>
      </c>
      <c r="C21">
        <f>MOD(($C$2*B21+$E$2),$E$3)</f>
        <v>54.428382873535156</v>
      </c>
      <c r="D21">
        <f>C21/($E$3-1)</f>
        <v>0.63288817294808319</v>
      </c>
    </row>
    <row r="22" spans="1:7" x14ac:dyDescent="0.3">
      <c r="A22">
        <v>18</v>
      </c>
      <c r="B22">
        <f t="shared" si="3"/>
        <v>54.428382873535156</v>
      </c>
      <c r="C22">
        <f>MOD(($C$2*B22+$E$2),$E$3)</f>
        <v>6.9277229309082031</v>
      </c>
      <c r="D22">
        <f>C22/($E$3-1)</f>
        <v>8.0554917801258175E-2</v>
      </c>
    </row>
    <row r="23" spans="1:7" x14ac:dyDescent="0.3">
      <c r="A23">
        <v>19</v>
      </c>
      <c r="B23">
        <f t="shared" si="3"/>
        <v>6.9277229309082031</v>
      </c>
      <c r="C23">
        <f>MOD(($C$2*B23+$E$2),$E$3)</f>
        <v>54.174753189086914</v>
      </c>
      <c r="D23">
        <f>C23/($E$3-1)</f>
        <v>0.62993899057077807</v>
      </c>
    </row>
    <row r="24" spans="1:7" x14ac:dyDescent="0.3">
      <c r="A24">
        <v>20</v>
      </c>
      <c r="B24">
        <f t="shared" si="3"/>
        <v>54.174753189086914</v>
      </c>
      <c r="C24">
        <f>MOD(($C$2*B24+$E$2),$E$3)</f>
        <v>5.7863893508911133</v>
      </c>
      <c r="D24">
        <f>C24/($E$3-1)</f>
        <v>6.7283597103385037E-2</v>
      </c>
    </row>
    <row r="25" spans="1:7" x14ac:dyDescent="0.3">
      <c r="A25">
        <v>21</v>
      </c>
      <c r="B25">
        <f t="shared" si="3"/>
        <v>5.7863893508911133</v>
      </c>
      <c r="C25">
        <f>MOD(($C$2*B25+$E$2),$E$3)</f>
        <v>49.03875207901001</v>
      </c>
      <c r="D25">
        <f>C25/($E$3-1)</f>
        <v>0.57021804743034898</v>
      </c>
    </row>
    <row r="26" spans="1:7" x14ac:dyDescent="0.3">
      <c r="A26">
        <v>22</v>
      </c>
      <c r="B26">
        <f t="shared" si="3"/>
        <v>49.03875207901001</v>
      </c>
      <c r="C26">
        <f>MOD(($C$2*B26+$E$2),$E$3)</f>
        <v>69.674384355545044</v>
      </c>
      <c r="D26">
        <f>C26/($E$3-1)</f>
        <v>0.81016725994819816</v>
      </c>
    </row>
    <row r="27" spans="1:7" x14ac:dyDescent="0.3">
      <c r="A27">
        <v>23</v>
      </c>
      <c r="B27">
        <f t="shared" si="3"/>
        <v>69.674384355545044</v>
      </c>
      <c r="C27">
        <f>MOD(($C$2*B27+$E$2),$E$3)</f>
        <v>75.534729599952698</v>
      </c>
      <c r="D27">
        <f>C27/($E$3-1)</f>
        <v>0.87831080930177552</v>
      </c>
    </row>
    <row r="28" spans="1:7" x14ac:dyDescent="0.3">
      <c r="A28">
        <v>24</v>
      </c>
      <c r="B28">
        <f t="shared" si="3"/>
        <v>75.534729599952698</v>
      </c>
      <c r="C28">
        <f>MOD(($C$2*B28+$E$2),$E$3)</f>
        <v>14.90628319978714</v>
      </c>
      <c r="D28">
        <f>C28/($E$3-1)</f>
        <v>0.17332887441612954</v>
      </c>
    </row>
    <row r="29" spans="1:7" x14ac:dyDescent="0.3">
      <c r="A29">
        <v>25</v>
      </c>
      <c r="B29">
        <f t="shared" si="3"/>
        <v>14.90628319978714</v>
      </c>
      <c r="C29">
        <f>MOD(($C$2*B29+$E$2),$E$3)</f>
        <v>3.0782743990421295</v>
      </c>
      <c r="D29">
        <f>C29/($E$3-1)</f>
        <v>3.5793888360954991E-2</v>
      </c>
    </row>
    <row r="30" spans="1:7" x14ac:dyDescent="0.3">
      <c r="A30">
        <v>26</v>
      </c>
      <c r="B30">
        <f t="shared" si="3"/>
        <v>3.0782743990421295</v>
      </c>
      <c r="C30">
        <f>MOD(($C$2*B30+$E$2),$E$3)</f>
        <v>36.852234795689583</v>
      </c>
      <c r="D30">
        <f>C30/($E$3-1)</f>
        <v>0.42851435808941374</v>
      </c>
    </row>
    <row r="31" spans="1:7" x14ac:dyDescent="0.3">
      <c r="A31">
        <v>27</v>
      </c>
      <c r="B31">
        <f t="shared" si="3"/>
        <v>36.852234795689583</v>
      </c>
      <c r="C31">
        <f>MOD(($C$2*B31+$E$2),$E$3)</f>
        <v>14.835056580603123</v>
      </c>
      <c r="D31">
        <f>C31/($E$3-1)</f>
        <v>0.1725006579139898</v>
      </c>
    </row>
    <row r="32" spans="1:7" x14ac:dyDescent="0.3">
      <c r="A32">
        <v>28</v>
      </c>
      <c r="B32">
        <f t="shared" si="3"/>
        <v>14.835056580603123</v>
      </c>
      <c r="C32">
        <f>MOD(($C$2*B32+$E$2),$E$3)</f>
        <v>2.7577546127140522</v>
      </c>
      <c r="D32">
        <f>C32/($E$3-1)</f>
        <v>3.2066914101326185E-2</v>
      </c>
    </row>
    <row r="33" spans="1:4" x14ac:dyDescent="0.3">
      <c r="A33">
        <v>29</v>
      </c>
      <c r="B33">
        <f t="shared" si="3"/>
        <v>2.7577546127140522</v>
      </c>
      <c r="C33">
        <f>MOD(($C$2*B33+$E$2),$E$3)</f>
        <v>35.409895757213235</v>
      </c>
      <c r="D33">
        <f>C33/($E$3-1)</f>
        <v>0.41174297392108411</v>
      </c>
    </row>
    <row r="34" spans="1:4" x14ac:dyDescent="0.3">
      <c r="A34">
        <v>30</v>
      </c>
      <c r="B34">
        <f t="shared" si="3"/>
        <v>35.409895757213235</v>
      </c>
      <c r="C34">
        <f>MOD(($C$2*B34+$E$2),$E$3)</f>
        <v>8.3445309074595571</v>
      </c>
      <c r="D34">
        <f>C34/($E$3-1)</f>
        <v>9.7029429156506475E-2</v>
      </c>
    </row>
    <row r="35" spans="1:4" x14ac:dyDescent="0.3">
      <c r="A35">
        <v>31</v>
      </c>
      <c r="B35">
        <f t="shared" si="3"/>
        <v>8.3445309074595571</v>
      </c>
      <c r="C35">
        <f>MOD(($C$2*B35+$E$2),$E$3)</f>
        <v>60.550389083568007</v>
      </c>
      <c r="D35">
        <f>C35/($E$3-1)</f>
        <v>0.70407429166939539</v>
      </c>
    </row>
    <row r="36" spans="1:4" x14ac:dyDescent="0.3">
      <c r="A36">
        <v>32</v>
      </c>
      <c r="B36">
        <f t="shared" si="3"/>
        <v>60.550389083568007</v>
      </c>
      <c r="C36">
        <f>MOD(($C$2*B36+$E$2),$E$3)</f>
        <v>34.47675087605603</v>
      </c>
      <c r="D36">
        <f>C36/($E$3-1)</f>
        <v>0.40089245204716312</v>
      </c>
    </row>
    <row r="37" spans="1:4" x14ac:dyDescent="0.3">
      <c r="A37">
        <v>33</v>
      </c>
      <c r="B37">
        <f t="shared" si="3"/>
        <v>34.47675087605603</v>
      </c>
      <c r="C37">
        <f>MOD(($C$2*B37+$E$2),$E$3)</f>
        <v>4.1453789422521368</v>
      </c>
      <c r="D37">
        <f>C37/($E$3-1)</f>
        <v>4.8202080723862055E-2</v>
      </c>
    </row>
    <row r="38" spans="1:4" x14ac:dyDescent="0.3">
      <c r="A38">
        <v>34</v>
      </c>
      <c r="B38">
        <f t="shared" si="3"/>
        <v>4.1453789422521368</v>
      </c>
      <c r="C38">
        <f>MOD(($C$2*B38+$E$2),$E$3)</f>
        <v>41.654205240134615</v>
      </c>
      <c r="D38">
        <f>C38/($E$3-1)</f>
        <v>0.48435122372249551</v>
      </c>
    </row>
    <row r="39" spans="1:4" x14ac:dyDescent="0.3">
      <c r="A39">
        <v>35</v>
      </c>
      <c r="B39">
        <f t="shared" si="3"/>
        <v>41.654205240134615</v>
      </c>
      <c r="C39">
        <f>MOD(($C$2*B39+$E$2),$E$3)</f>
        <v>36.44392358060577</v>
      </c>
      <c r="D39">
        <f>C39/($E$3-1)</f>
        <v>0.42376655326285778</v>
      </c>
    </row>
    <row r="40" spans="1:4" x14ac:dyDescent="0.3">
      <c r="A40">
        <v>36</v>
      </c>
      <c r="B40">
        <f t="shared" si="3"/>
        <v>36.44392358060577</v>
      </c>
      <c r="C40">
        <f>MOD(($C$2*B40+$E$2),$E$3)</f>
        <v>12.997656112725963</v>
      </c>
      <c r="D40">
        <f>C40/($E$3-1)</f>
        <v>0.15113553619448794</v>
      </c>
    </row>
    <row r="41" spans="1:4" x14ac:dyDescent="0.3">
      <c r="A41">
        <v>37</v>
      </c>
      <c r="B41">
        <f t="shared" si="3"/>
        <v>12.997656112725963</v>
      </c>
      <c r="C41">
        <f>MOD(($C$2*B41+$E$2),$E$3)</f>
        <v>81.489452507266833</v>
      </c>
      <c r="D41">
        <f>C41/($E$3-1)</f>
        <v>0.94755177334031204</v>
      </c>
    </row>
    <row r="42" spans="1:4" x14ac:dyDescent="0.3">
      <c r="A42">
        <v>38</v>
      </c>
      <c r="B42">
        <f t="shared" si="3"/>
        <v>81.489452507266833</v>
      </c>
      <c r="C42">
        <f>MOD(($C$2*B42+$E$2),$E$3)</f>
        <v>41.702536282700748</v>
      </c>
      <c r="D42">
        <f>C42/($E$3-1)</f>
        <v>0.48491321258954356</v>
      </c>
    </row>
    <row r="43" spans="1:4" x14ac:dyDescent="0.3">
      <c r="A43">
        <v>39</v>
      </c>
      <c r="B43">
        <f t="shared" si="3"/>
        <v>41.702536282700748</v>
      </c>
      <c r="C43">
        <f>MOD(($C$2*B43+$E$2),$E$3)</f>
        <v>36.661413272153368</v>
      </c>
      <c r="D43">
        <f>C43/($E$3-1)</f>
        <v>0.42629550316457404</v>
      </c>
    </row>
    <row r="44" spans="1:4" x14ac:dyDescent="0.3">
      <c r="A44">
        <v>40</v>
      </c>
      <c r="B44">
        <f t="shared" si="3"/>
        <v>36.661413272153368</v>
      </c>
      <c r="C44">
        <f>MOD(($C$2*B44+$E$2),$E$3)</f>
        <v>13.976359724690155</v>
      </c>
      <c r="D44">
        <f>C44/($E$3-1)</f>
        <v>0.16251581075221111</v>
      </c>
    </row>
    <row r="45" spans="1:4" x14ac:dyDescent="0.3">
      <c r="A45">
        <v>41</v>
      </c>
      <c r="B45">
        <f t="shared" si="3"/>
        <v>13.976359724690155</v>
      </c>
      <c r="C45">
        <f>MOD(($C$2*B45+$E$2),$E$3)</f>
        <v>85.893618761105699</v>
      </c>
      <c r="D45">
        <f>C45/($E$3-1)</f>
        <v>0.9987630088500663</v>
      </c>
    </row>
    <row r="46" spans="1:4" x14ac:dyDescent="0.3">
      <c r="A46">
        <v>42</v>
      </c>
      <c r="B46">
        <f t="shared" si="3"/>
        <v>85.893618761105699</v>
      </c>
      <c r="C46">
        <f>MOD(($C$2*B46+$E$2),$E$3)</f>
        <v>61.521284424975647</v>
      </c>
      <c r="D46">
        <f>C46/($E$3-1)</f>
        <v>0.71536377238343773</v>
      </c>
    </row>
    <row r="47" spans="1:4" x14ac:dyDescent="0.3">
      <c r="A47">
        <v>43</v>
      </c>
      <c r="B47">
        <f t="shared" si="3"/>
        <v>61.521284424975647</v>
      </c>
      <c r="C47">
        <f>MOD(($C$2*B47+$E$2),$E$3)</f>
        <v>38.845779912390412</v>
      </c>
      <c r="D47">
        <f>C47/($E$3-1)</f>
        <v>0.45169511526035361</v>
      </c>
    </row>
    <row r="48" spans="1:4" x14ac:dyDescent="0.3">
      <c r="A48">
        <v>44</v>
      </c>
      <c r="B48">
        <f t="shared" si="3"/>
        <v>38.845779912390412</v>
      </c>
      <c r="C48">
        <f>MOD(($C$2*B48+$E$2),$E$3)</f>
        <v>23.806009605756856</v>
      </c>
      <c r="D48">
        <f>C48/($E$3-1)</f>
        <v>0.27681406518321927</v>
      </c>
    </row>
    <row r="49" spans="1:4" x14ac:dyDescent="0.3">
      <c r="A49">
        <v>45</v>
      </c>
      <c r="B49">
        <f t="shared" si="3"/>
        <v>23.806009605756856</v>
      </c>
      <c r="C49">
        <f>MOD(($C$2*B49+$E$2),$E$3)</f>
        <v>43.127043225905851</v>
      </c>
      <c r="D49">
        <f>C49/($E$3-1)</f>
        <v>0.50147724681285877</v>
      </c>
    </row>
    <row r="50" spans="1:4" x14ac:dyDescent="0.3">
      <c r="A50">
        <v>46</v>
      </c>
      <c r="B50">
        <f t="shared" si="3"/>
        <v>43.127043225905851</v>
      </c>
      <c r="C50">
        <f>MOD(($C$2*B50+$E$2),$E$3)</f>
        <v>43.071694516576315</v>
      </c>
      <c r="D50">
        <f>C50/($E$3-1)</f>
        <v>0.50083365716949202</v>
      </c>
    </row>
    <row r="51" spans="1:4" x14ac:dyDescent="0.3">
      <c r="A51">
        <v>47</v>
      </c>
      <c r="B51">
        <f t="shared" si="3"/>
        <v>43.071694516576315</v>
      </c>
      <c r="C51">
        <f>MOD(($C$2*B51+$E$2),$E$3)</f>
        <v>42.822625324593417</v>
      </c>
      <c r="D51">
        <f>C51/($E$3-1)</f>
        <v>0.49793750377434204</v>
      </c>
    </row>
    <row r="52" spans="1:4" x14ac:dyDescent="0.3">
      <c r="A52">
        <v>48</v>
      </c>
      <c r="B52">
        <f t="shared" si="3"/>
        <v>42.822625324593417</v>
      </c>
      <c r="C52">
        <f>MOD(($C$2*B52+$E$2),$E$3)</f>
        <v>41.701813960670393</v>
      </c>
      <c r="D52">
        <f>C52/($E$3-1)</f>
        <v>0.48490481349616738</v>
      </c>
    </row>
    <row r="53" spans="1:4" x14ac:dyDescent="0.3">
      <c r="A53">
        <v>49</v>
      </c>
      <c r="B53">
        <f t="shared" si="3"/>
        <v>41.701813960670393</v>
      </c>
      <c r="C53">
        <f>MOD(($C$2*B53+$E$2),$E$3)</f>
        <v>36.658162823016767</v>
      </c>
      <c r="D53">
        <f>C53/($E$3-1)</f>
        <v>0.426257707244381</v>
      </c>
    </row>
    <row r="54" spans="1:4" x14ac:dyDescent="0.3">
      <c r="A54">
        <v>50</v>
      </c>
      <c r="B54">
        <f t="shared" si="3"/>
        <v>36.658162823016767</v>
      </c>
      <c r="C54">
        <f>MOD(($C$2*B54+$E$2),$E$3)</f>
        <v>13.96173270357545</v>
      </c>
      <c r="D54">
        <f>C54/($E$3-1)</f>
        <v>0.16234572911134243</v>
      </c>
    </row>
    <row r="55" spans="1:4" x14ac:dyDescent="0.3">
      <c r="A55">
        <v>51</v>
      </c>
      <c r="B55">
        <f t="shared" si="3"/>
        <v>13.96173270357545</v>
      </c>
      <c r="C55">
        <f>MOD(($C$2*B55+$E$2),$E$3)</f>
        <v>85.827797166089525</v>
      </c>
      <c r="D55">
        <f>C55/($E$3-1)</f>
        <v>0.99799764146615721</v>
      </c>
    </row>
    <row r="56" spans="1:4" x14ac:dyDescent="0.3">
      <c r="A56">
        <v>52</v>
      </c>
      <c r="B56">
        <f t="shared" si="3"/>
        <v>85.827797166089525</v>
      </c>
      <c r="C56">
        <f>MOD(($C$2*B56+$E$2),$E$3)</f>
        <v>61.225087247402882</v>
      </c>
      <c r="D56">
        <f>C56/($E$3-1)</f>
        <v>0.71191961915584745</v>
      </c>
    </row>
    <row r="57" spans="1:4" x14ac:dyDescent="0.3">
      <c r="A57">
        <v>53</v>
      </c>
      <c r="B57">
        <f t="shared" si="3"/>
        <v>61.225087247402882</v>
      </c>
      <c r="C57">
        <f>MOD(($C$2*B57+$E$2),$E$3)</f>
        <v>37.512892613312943</v>
      </c>
      <c r="D57">
        <f>C57/($E$3-1)</f>
        <v>0.43619642573619699</v>
      </c>
    </row>
    <row r="58" spans="1:4" x14ac:dyDescent="0.3">
      <c r="A58">
        <v>54</v>
      </c>
      <c r="B58">
        <f t="shared" si="3"/>
        <v>37.512892613312943</v>
      </c>
      <c r="C58">
        <f>MOD(($C$2*B58+$E$2),$E$3)</f>
        <v>17.808016759908242</v>
      </c>
      <c r="D58">
        <f>C58/($E$3-1)</f>
        <v>0.20706996232451444</v>
      </c>
    </row>
    <row r="59" spans="1:4" x14ac:dyDescent="0.3">
      <c r="A59">
        <v>55</v>
      </c>
      <c r="B59">
        <f t="shared" si="3"/>
        <v>17.808016759908242</v>
      </c>
      <c r="C59">
        <f>MOD(($C$2*B59+$E$2),$E$3)</f>
        <v>16.136075419587087</v>
      </c>
      <c r="D59">
        <f>C59/($E$3-1)</f>
        <v>0.18762878394868707</v>
      </c>
    </row>
    <row r="60" spans="1:4" x14ac:dyDescent="0.3">
      <c r="A60">
        <v>56</v>
      </c>
      <c r="B60">
        <f t="shared" si="3"/>
        <v>16.136075419587087</v>
      </c>
      <c r="C60">
        <f>MOD(($C$2*B60+$E$2),$E$3)</f>
        <v>8.6123393881418906</v>
      </c>
      <c r="D60">
        <f>C60/($E$3-1)</f>
        <v>0.10014348125746385</v>
      </c>
    </row>
    <row r="61" spans="1:4" x14ac:dyDescent="0.3">
      <c r="A61">
        <v>57</v>
      </c>
      <c r="B61">
        <f t="shared" si="3"/>
        <v>8.6123393881418906</v>
      </c>
      <c r="C61">
        <f>MOD(($C$2*B61+$E$2),$E$3)</f>
        <v>61.755527246638508</v>
      </c>
      <c r="D61">
        <f>C61/($E$3-1)</f>
        <v>0.71808752612370352</v>
      </c>
    </row>
    <row r="62" spans="1:4" x14ac:dyDescent="0.3">
      <c r="A62">
        <v>58</v>
      </c>
      <c r="B62">
        <f t="shared" si="3"/>
        <v>61.755527246638508</v>
      </c>
      <c r="C62">
        <f>MOD(($C$2*B62+$E$2),$E$3)</f>
        <v>39.899872609873285</v>
      </c>
      <c r="D62">
        <f>C62/($E$3-1)</f>
        <v>0.46395200709154982</v>
      </c>
    </row>
    <row r="63" spans="1:4" x14ac:dyDescent="0.3">
      <c r="A63">
        <v>59</v>
      </c>
      <c r="B63">
        <f t="shared" si="3"/>
        <v>39.899872609873285</v>
      </c>
      <c r="C63">
        <f>MOD(($C$2*B63+$E$2),$E$3)</f>
        <v>28.54942674442978</v>
      </c>
      <c r="D63">
        <f>C63/($E$3-1)</f>
        <v>0.3319700784236021</v>
      </c>
    </row>
    <row r="64" spans="1:4" x14ac:dyDescent="0.3">
      <c r="A64">
        <v>60</v>
      </c>
      <c r="B64">
        <f t="shared" si="3"/>
        <v>28.54942674442978</v>
      </c>
      <c r="C64">
        <f>MOD(($C$2*B64+$E$2),$E$3)</f>
        <v>64.472420349933998</v>
      </c>
      <c r="D64">
        <f>C64/($E$3-1)</f>
        <v>0.74967930639458136</v>
      </c>
    </row>
    <row r="65" spans="1:4" x14ac:dyDescent="0.3">
      <c r="A65">
        <v>61</v>
      </c>
      <c r="B65">
        <f t="shared" si="3"/>
        <v>64.472420349933998</v>
      </c>
      <c r="C65">
        <f>MOD(($C$2*B65+$E$2),$E$3)</f>
        <v>52.125891574703019</v>
      </c>
      <c r="D65">
        <f>C65/($E$3-1)</f>
        <v>0.60611501831050019</v>
      </c>
    </row>
    <row r="66" spans="1:4" x14ac:dyDescent="0.3">
      <c r="A66">
        <v>62</v>
      </c>
      <c r="B66">
        <f t="shared" si="3"/>
        <v>52.125891574703019</v>
      </c>
      <c r="C66">
        <f>MOD(($C$2*B66+$E$2),$E$3)</f>
        <v>83.566512086163584</v>
      </c>
      <c r="D66">
        <f>C66/($E$3-1)</f>
        <v>0.97170362890887885</v>
      </c>
    </row>
    <row r="67" spans="1:4" x14ac:dyDescent="0.3">
      <c r="A67">
        <v>63</v>
      </c>
      <c r="B67">
        <f t="shared" si="3"/>
        <v>83.566512086163584</v>
      </c>
      <c r="C67">
        <f>MOD(($C$2*B67+$E$2),$E$3)</f>
        <v>51.049304387736129</v>
      </c>
      <c r="D67">
        <f>C67/($E$3-1)</f>
        <v>0.59359656264809457</v>
      </c>
    </row>
    <row r="68" spans="1:4" x14ac:dyDescent="0.3">
      <c r="A68">
        <v>64</v>
      </c>
      <c r="B68">
        <f t="shared" si="3"/>
        <v>51.049304387736129</v>
      </c>
      <c r="C68">
        <f>MOD(($C$2*B68+$E$2),$E$3)</f>
        <v>78.721869744812579</v>
      </c>
      <c r="D68">
        <f>C68/($E$3-1)</f>
        <v>0.91537057842805325</v>
      </c>
    </row>
    <row r="69" spans="1:4" x14ac:dyDescent="0.3">
      <c r="A69">
        <v>65</v>
      </c>
      <c r="B69">
        <f t="shared" si="3"/>
        <v>78.721869744812579</v>
      </c>
      <c r="C69">
        <f>MOD(($C$2*B69+$E$2),$E$3)</f>
        <v>29.248413851656608</v>
      </c>
      <c r="D69">
        <f>C69/($E$3-1)</f>
        <v>0.34009783548437916</v>
      </c>
    </row>
    <row r="70" spans="1:4" x14ac:dyDescent="0.3">
      <c r="A70">
        <v>66</v>
      </c>
      <c r="B70">
        <f t="shared" si="3"/>
        <v>29.248413851656608</v>
      </c>
      <c r="C70">
        <f>MOD(($C$2*B70+$E$2),$E$3)</f>
        <v>67.617862332454735</v>
      </c>
      <c r="D70">
        <f>C70/($E$3-1)</f>
        <v>0.78625421316807831</v>
      </c>
    </row>
    <row r="71" spans="1:4" x14ac:dyDescent="0.3">
      <c r="A71">
        <v>67</v>
      </c>
      <c r="B71">
        <f t="shared" ref="B71:B104" si="4">C70</f>
        <v>67.617862332454735</v>
      </c>
      <c r="C71">
        <f>MOD(($C$2*B71+$E$2),$E$3)</f>
        <v>66.280380496046291</v>
      </c>
      <c r="D71">
        <f>C71/($E$3-1)</f>
        <v>0.77070209879123597</v>
      </c>
    </row>
    <row r="72" spans="1:4" x14ac:dyDescent="0.3">
      <c r="A72">
        <v>68</v>
      </c>
      <c r="B72">
        <f t="shared" si="4"/>
        <v>66.280380496046291</v>
      </c>
      <c r="C72">
        <f>MOD(($C$2*B72+$E$2),$E$3)</f>
        <v>60.261712232208311</v>
      </c>
      <c r="D72">
        <f>C72/($E$3-1)</f>
        <v>0.70071758409544549</v>
      </c>
    </row>
    <row r="73" spans="1:4" x14ac:dyDescent="0.3">
      <c r="A73">
        <v>69</v>
      </c>
      <c r="B73">
        <f t="shared" si="4"/>
        <v>60.261712232208311</v>
      </c>
      <c r="C73">
        <f>MOD(($C$2*B73+$E$2),$E$3)</f>
        <v>33.177705044937397</v>
      </c>
      <c r="D73">
        <f>C73/($E$3-1)</f>
        <v>0.38578726796438834</v>
      </c>
    </row>
    <row r="74" spans="1:4" x14ac:dyDescent="0.3">
      <c r="A74">
        <v>70</v>
      </c>
      <c r="B74">
        <f t="shared" si="4"/>
        <v>33.177705044937397</v>
      </c>
      <c r="C74">
        <f>MOD(($C$2*B74+$E$2),$E$3)</f>
        <v>85.299672702218288</v>
      </c>
      <c r="D74">
        <f>C74/($E$3-1)</f>
        <v>0.99185665932811962</v>
      </c>
    </row>
    <row r="75" spans="1:4" x14ac:dyDescent="0.3">
      <c r="A75">
        <v>71</v>
      </c>
      <c r="B75">
        <f t="shared" si="4"/>
        <v>85.299672702218288</v>
      </c>
      <c r="C75">
        <f>MOD(($C$2*B75+$E$2),$E$3)</f>
        <v>58.848527159982268</v>
      </c>
      <c r="D75">
        <f>C75/($E$3-1)</f>
        <v>0.68428519953467759</v>
      </c>
    </row>
    <row r="76" spans="1:4" x14ac:dyDescent="0.3">
      <c r="A76">
        <v>72</v>
      </c>
      <c r="B76">
        <f t="shared" si="4"/>
        <v>58.848527159982268</v>
      </c>
      <c r="C76">
        <f>MOD(($C$2*B76+$E$2),$E$3)</f>
        <v>26.818372219920207</v>
      </c>
      <c r="D76">
        <f>C76/($E$3-1)</f>
        <v>0.31184153744093263</v>
      </c>
    </row>
    <row r="77" spans="1:4" x14ac:dyDescent="0.3">
      <c r="A77">
        <v>73</v>
      </c>
      <c r="B77">
        <f t="shared" si="4"/>
        <v>26.818372219920207</v>
      </c>
      <c r="C77">
        <f>MOD(($C$2*B77+$E$2),$E$3)</f>
        <v>56.68267498964093</v>
      </c>
      <c r="D77">
        <f>C77/($E$3-1)</f>
        <v>0.65910087197256895</v>
      </c>
    </row>
    <row r="78" spans="1:4" x14ac:dyDescent="0.3">
      <c r="A78">
        <v>74</v>
      </c>
      <c r="B78">
        <f t="shared" si="4"/>
        <v>56.68267498964093</v>
      </c>
      <c r="C78">
        <f>MOD(($C$2*B78+$E$2),$E$3)</f>
        <v>17.072037453384155</v>
      </c>
      <c r="D78">
        <f>C78/($E$3-1)</f>
        <v>0.19851206341144367</v>
      </c>
    </row>
    <row r="79" spans="1:4" x14ac:dyDescent="0.3">
      <c r="A79">
        <v>75</v>
      </c>
      <c r="B79">
        <f t="shared" si="4"/>
        <v>17.072037453384155</v>
      </c>
      <c r="C79">
        <f>MOD(($C$2*B79+$E$2),$E$3)</f>
        <v>12.824168540228698</v>
      </c>
      <c r="D79">
        <f>C79/($E$3-1)</f>
        <v>0.14911823883986858</v>
      </c>
    </row>
    <row r="80" spans="1:4" x14ac:dyDescent="0.3">
      <c r="A80">
        <v>76</v>
      </c>
      <c r="B80">
        <f t="shared" si="4"/>
        <v>12.824168540228698</v>
      </c>
      <c r="C80">
        <f>MOD(($C$2*B80+$E$2),$E$3)</f>
        <v>80.708758431029139</v>
      </c>
      <c r="D80">
        <f>C80/($E$3-1)</f>
        <v>0.93847393524452483</v>
      </c>
    </row>
    <row r="81" spans="1:4" x14ac:dyDescent="0.3">
      <c r="A81">
        <v>77</v>
      </c>
      <c r="B81">
        <f t="shared" si="4"/>
        <v>80.708758431029139</v>
      </c>
      <c r="C81">
        <f>MOD(($C$2*B81+$E$2),$E$3)</f>
        <v>38.189412939631097</v>
      </c>
      <c r="D81">
        <f>C81/($E$3-1)</f>
        <v>0.44406294115850115</v>
      </c>
    </row>
    <row r="82" spans="1:4" x14ac:dyDescent="0.3">
      <c r="A82">
        <v>78</v>
      </c>
      <c r="B82">
        <f t="shared" si="4"/>
        <v>38.189412939631097</v>
      </c>
      <c r="C82">
        <f>MOD(($C$2*B82+$E$2),$E$3)</f>
        <v>20.852358228339938</v>
      </c>
      <c r="D82">
        <f>C82/($E$3-1)</f>
        <v>0.242469281724883</v>
      </c>
    </row>
    <row r="83" spans="1:4" x14ac:dyDescent="0.3">
      <c r="A83">
        <v>79</v>
      </c>
      <c r="B83">
        <f t="shared" si="4"/>
        <v>20.852358228339938</v>
      </c>
      <c r="C83">
        <f>MOD(($C$2*B83+$E$2),$E$3)</f>
        <v>29.83561202752972</v>
      </c>
      <c r="D83">
        <f>C83/($E$3-1)</f>
        <v>0.3469257212503456</v>
      </c>
    </row>
    <row r="84" spans="1:4" x14ac:dyDescent="0.3">
      <c r="A84">
        <v>80</v>
      </c>
      <c r="B84">
        <f t="shared" si="4"/>
        <v>29.83561202752972</v>
      </c>
      <c r="C84">
        <f>MOD(($C$2*B84+$E$2),$E$3)</f>
        <v>70.260254123883726</v>
      </c>
      <c r="D84">
        <f>C84/($E$3-1)</f>
        <v>0.81697969911492707</v>
      </c>
    </row>
    <row r="85" spans="1:4" x14ac:dyDescent="0.3">
      <c r="A85">
        <v>81</v>
      </c>
      <c r="B85">
        <f t="shared" si="4"/>
        <v>70.260254123883726</v>
      </c>
      <c r="C85">
        <f>MOD(($C$2*B85+$E$2),$E$3)</f>
        <v>78.171143557476739</v>
      </c>
      <c r="D85">
        <f>C85/($E$3-1)</f>
        <v>0.90896678555205512</v>
      </c>
    </row>
    <row r="86" spans="1:4" x14ac:dyDescent="0.3">
      <c r="A86">
        <v>82</v>
      </c>
      <c r="B86">
        <f t="shared" si="4"/>
        <v>78.171143557476739</v>
      </c>
      <c r="C86">
        <f>MOD(($C$2*B86+$E$2),$E$3)</f>
        <v>26.770146008645327</v>
      </c>
      <c r="D86">
        <f>C86/($E$3-1)</f>
        <v>0.31128076754238754</v>
      </c>
    </row>
    <row r="87" spans="1:4" x14ac:dyDescent="0.3">
      <c r="A87">
        <v>83</v>
      </c>
      <c r="B87">
        <f t="shared" si="4"/>
        <v>26.770146008645327</v>
      </c>
      <c r="C87">
        <f>MOD(($C$2*B87+$E$2),$E$3)</f>
        <v>56.46565703890397</v>
      </c>
      <c r="D87">
        <f>C87/($E$3-1)</f>
        <v>0.65657740742911597</v>
      </c>
    </row>
    <row r="88" spans="1:4" x14ac:dyDescent="0.3">
      <c r="A88">
        <v>84</v>
      </c>
      <c r="B88">
        <f t="shared" si="4"/>
        <v>56.46565703890397</v>
      </c>
      <c r="C88">
        <f>MOD(($C$2*B88+$E$2),$E$3)</f>
        <v>16.095456675067851</v>
      </c>
      <c r="D88">
        <f>C88/($E$3-1)</f>
        <v>0.18715647296590524</v>
      </c>
    </row>
    <row r="89" spans="1:4" x14ac:dyDescent="0.3">
      <c r="A89">
        <v>85</v>
      </c>
      <c r="B89">
        <f t="shared" si="4"/>
        <v>16.095456675067851</v>
      </c>
      <c r="C89">
        <f>MOD(($C$2*B89+$E$2),$E$3)</f>
        <v>8.4295550378053292</v>
      </c>
      <c r="D89">
        <f>C89/($E$3-1)</f>
        <v>9.8018081834945689E-2</v>
      </c>
    </row>
    <row r="90" spans="1:4" x14ac:dyDescent="0.3">
      <c r="A90">
        <v>86</v>
      </c>
      <c r="B90">
        <f t="shared" si="4"/>
        <v>8.4295550378053292</v>
      </c>
      <c r="C90">
        <f>MOD(($C$2*B90+$E$2),$E$3)</f>
        <v>60.932997670123981</v>
      </c>
      <c r="D90">
        <f>C90/($E$3-1)</f>
        <v>0.70852322872237183</v>
      </c>
    </row>
    <row r="91" spans="1:4" x14ac:dyDescent="0.3">
      <c r="A91">
        <v>87</v>
      </c>
      <c r="B91">
        <f t="shared" si="4"/>
        <v>60.932997670123981</v>
      </c>
      <c r="C91">
        <f>MOD(($C$2*B91+$E$2),$E$3)</f>
        <v>36.198489515557924</v>
      </c>
      <c r="D91">
        <f>C91/($E$3-1)</f>
        <v>0.42091266878555728</v>
      </c>
    </row>
    <row r="92" spans="1:4" x14ac:dyDescent="0.3">
      <c r="A92">
        <v>88</v>
      </c>
      <c r="B92">
        <f t="shared" si="4"/>
        <v>36.198489515557924</v>
      </c>
      <c r="C92">
        <f>MOD(($C$2*B92+$E$2),$E$3)</f>
        <v>11.893202820010657</v>
      </c>
      <c r="D92">
        <f>C92/($E$3-1)</f>
        <v>0.13829305604663555</v>
      </c>
    </row>
    <row r="93" spans="1:4" x14ac:dyDescent="0.3">
      <c r="A93">
        <v>89</v>
      </c>
      <c r="B93">
        <f t="shared" si="4"/>
        <v>11.893202820010657</v>
      </c>
      <c r="C93">
        <f>MOD(($C$2*B93+$E$2),$E$3)</f>
        <v>76.519412690047957</v>
      </c>
      <c r="D93">
        <f>C93/($E$3-1)</f>
        <v>0.8897606126749763</v>
      </c>
    </row>
    <row r="94" spans="1:4" x14ac:dyDescent="0.3">
      <c r="A94">
        <v>90</v>
      </c>
      <c r="B94">
        <f t="shared" si="4"/>
        <v>76.519412690047957</v>
      </c>
      <c r="C94">
        <f>MOD(($C$2*B94+$E$2),$E$3)</f>
        <v>19.337357105215801</v>
      </c>
      <c r="D94">
        <f>C94/($E$3-1)</f>
        <v>0.22485298959553257</v>
      </c>
    </row>
    <row r="95" spans="1:4" x14ac:dyDescent="0.3">
      <c r="A95">
        <v>91</v>
      </c>
      <c r="B95">
        <f t="shared" si="4"/>
        <v>19.337357105215801</v>
      </c>
      <c r="C95">
        <f>MOD(($C$2*B95+$E$2),$E$3)</f>
        <v>23.018106973471106</v>
      </c>
      <c r="D95">
        <f>C95/($E$3-1)</f>
        <v>0.26765240666826867</v>
      </c>
    </row>
    <row r="96" spans="1:4" x14ac:dyDescent="0.3">
      <c r="A96">
        <v>92</v>
      </c>
      <c r="B96">
        <f t="shared" si="4"/>
        <v>23.018106973471106</v>
      </c>
      <c r="C96">
        <f>MOD(($C$2*B96+$E$2),$E$3)</f>
        <v>39.581481380619977</v>
      </c>
      <c r="D96">
        <f>C96/($E$3-1)</f>
        <v>0.4602497834955811</v>
      </c>
    </row>
    <row r="97" spans="1:4" x14ac:dyDescent="0.3">
      <c r="A97">
        <v>93</v>
      </c>
      <c r="B97">
        <f t="shared" si="4"/>
        <v>39.581481380619977</v>
      </c>
      <c r="C97">
        <f>MOD(($C$2*B97+$E$2),$E$3)</f>
        <v>27.11666621278988</v>
      </c>
      <c r="D97">
        <f>C97/($E$3-1)</f>
        <v>0.31531007224174279</v>
      </c>
    </row>
    <row r="98" spans="1:4" x14ac:dyDescent="0.3">
      <c r="A98">
        <v>94</v>
      </c>
      <c r="B98">
        <f t="shared" si="4"/>
        <v>27.11666621278988</v>
      </c>
      <c r="C98">
        <f>MOD(($C$2*B98+$E$2),$E$3)</f>
        <v>58.024997957554461</v>
      </c>
      <c r="D98">
        <f>C98/($E$3-1)</f>
        <v>0.67470927857621465</v>
      </c>
    </row>
    <row r="99" spans="1:4" x14ac:dyDescent="0.3">
      <c r="A99">
        <v>95</v>
      </c>
      <c r="B99">
        <f t="shared" si="4"/>
        <v>58.024997957554461</v>
      </c>
      <c r="C99">
        <f>MOD(($C$2*B99+$E$2),$E$3)</f>
        <v>23.112490808995062</v>
      </c>
      <c r="D99">
        <f>C99/($E$3-1)</f>
        <v>0.26874989312784958</v>
      </c>
    </row>
    <row r="100" spans="1:4" x14ac:dyDescent="0.3">
      <c r="A100">
        <v>96</v>
      </c>
      <c r="B100">
        <f t="shared" si="4"/>
        <v>23.112490808995062</v>
      </c>
      <c r="C100">
        <f>MOD(($C$2*B100+$E$2),$E$3)</f>
        <v>40.00620864047778</v>
      </c>
      <c r="D100">
        <f>C100/($E$3-1)</f>
        <v>0.46518847256369511</v>
      </c>
    </row>
    <row r="101" spans="1:4" x14ac:dyDescent="0.3">
      <c r="A101">
        <v>97</v>
      </c>
      <c r="B101">
        <f t="shared" si="4"/>
        <v>40.00620864047778</v>
      </c>
      <c r="C101">
        <f>MOD(($C$2*B101+$E$2),$E$3)</f>
        <v>29.027938882150011</v>
      </c>
      <c r="D101">
        <f>C101/($E$3-1)</f>
        <v>0.33753417304825595</v>
      </c>
    </row>
    <row r="102" spans="1:4" x14ac:dyDescent="0.3">
      <c r="A102">
        <v>98</v>
      </c>
      <c r="B102">
        <f t="shared" si="4"/>
        <v>29.027938882150011</v>
      </c>
      <c r="C102">
        <f>MOD(($C$2*B102+$E$2),$E$3)</f>
        <v>66.625724969675048</v>
      </c>
      <c r="D102">
        <f>C102/($E$3-1)</f>
        <v>0.77471773220552376</v>
      </c>
    </row>
    <row r="103" spans="1:4" x14ac:dyDescent="0.3">
      <c r="A103">
        <v>99</v>
      </c>
      <c r="B103">
        <f t="shared" si="4"/>
        <v>66.625724969675048</v>
      </c>
      <c r="C103">
        <f>MOD(($C$2*B103+$E$2),$E$3)</f>
        <v>61.815762363537715</v>
      </c>
      <c r="D103">
        <f>C103/($E$3-1)</f>
        <v>0.71878793445974087</v>
      </c>
    </row>
    <row r="104" spans="1:4" x14ac:dyDescent="0.3">
      <c r="A104">
        <v>100</v>
      </c>
      <c r="B104">
        <f t="shared" si="4"/>
        <v>61.815762363537715</v>
      </c>
      <c r="C104">
        <f>MOD(($C$2*B104+$E$2),$E$3)</f>
        <v>40.170930635919717</v>
      </c>
      <c r="D104">
        <f>C104/($E$3-1)</f>
        <v>0.46710384460371762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Ксения Шорина</dc:creator>
  <cp:lastModifiedBy>Пользователь</cp:lastModifiedBy>
  <dcterms:created xsi:type="dcterms:W3CDTF">2025-09-25T17:01:40Z</dcterms:created>
  <dcterms:modified xsi:type="dcterms:W3CDTF">2025-10-27T17:01:25Z</dcterms:modified>
</cp:coreProperties>
</file>